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42170292546/WOPIServiceId_TP_BOX_2/WOPIUserId_-/"/>
    </mc:Choice>
  </mc:AlternateContent>
  <xr:revisionPtr revIDLastSave="896" documentId="8_{E2959471-7C60-4197-87C9-82DB368E0D4E}" xr6:coauthVersionLast="47" xr6:coauthVersionMax="47" xr10:uidLastSave="{7DBFC734-DD4F-45A5-9B61-AB057A948DDF}"/>
  <bookViews>
    <workbookView xWindow="-120" yWindow="-120" windowWidth="29040" windowHeight="15840" activeTab="1" xr2:uid="{2B1AD6BF-0B30-44F6-A659-9BB5A34DEF5D}"/>
  </bookViews>
  <sheets>
    <sheet name="Modeling SCP" sheetId="1" r:id="rId1"/>
    <sheet name="CO2 Contactor" sheetId="2" r:id="rId2"/>
    <sheet name="O2 Contactor" sheetId="4" r:id="rId3"/>
    <sheet name="H2 Contacto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4" l="1"/>
  <c r="F14" i="4"/>
  <c r="J26" i="4"/>
  <c r="F26" i="4"/>
  <c r="B26" i="4"/>
  <c r="J26" i="3"/>
  <c r="F26" i="3"/>
  <c r="B26" i="3"/>
  <c r="J30" i="3"/>
  <c r="F30" i="3"/>
  <c r="J5" i="3"/>
  <c r="J6" i="3" s="1"/>
  <c r="J8" i="3" s="1"/>
  <c r="F5" i="3"/>
  <c r="F6" i="3" s="1"/>
  <c r="F8" i="3" s="1"/>
  <c r="J4" i="3"/>
  <c r="F4" i="3"/>
  <c r="J30" i="4"/>
  <c r="F30" i="4"/>
  <c r="J5" i="4"/>
  <c r="J6" i="4" s="1"/>
  <c r="J8" i="4" s="1"/>
  <c r="F5" i="4"/>
  <c r="F6" i="4" s="1"/>
  <c r="F8" i="4" s="1"/>
  <c r="J4" i="4"/>
  <c r="F4" i="4"/>
  <c r="J26" i="2"/>
  <c r="F26" i="2"/>
  <c r="B26" i="2"/>
  <c r="F29" i="2"/>
  <c r="F30" i="2"/>
  <c r="J30" i="2"/>
  <c r="J5" i="2"/>
  <c r="F5" i="2"/>
  <c r="J4" i="2"/>
  <c r="F4" i="2"/>
  <c r="B4" i="3"/>
  <c r="B4" i="4"/>
  <c r="J29" i="3" l="1"/>
  <c r="J31" i="3" s="1"/>
  <c r="J23" i="3"/>
  <c r="J24" i="3" s="1"/>
  <c r="J27" i="3" s="1"/>
  <c r="F29" i="3"/>
  <c r="F31" i="3" s="1"/>
  <c r="F23" i="3"/>
  <c r="F24" i="3" s="1"/>
  <c r="F27" i="3" s="1"/>
  <c r="F29" i="4"/>
  <c r="F31" i="4" s="1"/>
  <c r="F23" i="4"/>
  <c r="F24" i="4" s="1"/>
  <c r="F27" i="4" s="1"/>
  <c r="J29" i="4"/>
  <c r="J31" i="4" s="1"/>
  <c r="J23" i="4"/>
  <c r="J24" i="4" s="1"/>
  <c r="J27" i="4" s="1"/>
  <c r="J6" i="2"/>
  <c r="J8" i="2" s="1"/>
  <c r="F6" i="2"/>
  <c r="F8" i="2" s="1"/>
  <c r="C27" i="1"/>
  <c r="C37" i="1"/>
  <c r="C36" i="1"/>
  <c r="C31" i="1"/>
  <c r="C35" i="1"/>
  <c r="C33" i="1"/>
  <c r="C12" i="1"/>
  <c r="C26" i="1"/>
  <c r="F31" i="2" l="1"/>
  <c r="F23" i="2"/>
  <c r="F24" i="2" s="1"/>
  <c r="F27" i="2" s="1"/>
  <c r="J23" i="2"/>
  <c r="J24" i="2" s="1"/>
  <c r="J27" i="2" s="1"/>
  <c r="J29" i="2"/>
  <c r="J31" i="2" s="1"/>
  <c r="C23" i="1"/>
  <c r="B6" i="2"/>
  <c r="B8" i="2" s="1"/>
  <c r="O13" i="1"/>
  <c r="O11" i="1"/>
  <c r="O10" i="1"/>
  <c r="O9" i="1"/>
  <c r="B30" i="3"/>
  <c r="B30" i="4"/>
  <c r="B29" i="4"/>
  <c r="B30" i="2"/>
  <c r="K10" i="1"/>
  <c r="K11" i="1"/>
  <c r="G11" i="1"/>
  <c r="G10" i="1"/>
  <c r="K9" i="1"/>
  <c r="G9" i="1"/>
  <c r="K13" i="1"/>
  <c r="G13" i="1"/>
  <c r="G15" i="1"/>
  <c r="C22" i="1"/>
  <c r="C28" i="1"/>
  <c r="B4" i="2"/>
  <c r="B6" i="4"/>
  <c r="B8" i="4" s="1"/>
  <c r="B31" i="4" l="1"/>
  <c r="K14" i="1" s="1"/>
  <c r="C29" i="1"/>
  <c r="G12" i="1"/>
  <c r="C30" i="1"/>
  <c r="B14" i="4"/>
  <c r="K15" i="1" s="1"/>
  <c r="C25" i="1"/>
  <c r="C17" i="1"/>
  <c r="B23" i="4"/>
  <c r="B24" i="4" s="1"/>
  <c r="B6" i="3"/>
  <c r="B8" i="3" s="1"/>
  <c r="O12" i="1"/>
  <c r="C11" i="1"/>
  <c r="G30" i="1" s="1"/>
  <c r="K12" i="1"/>
  <c r="C18" i="1"/>
  <c r="B23" i="3" l="1"/>
  <c r="B24" i="3" s="1"/>
  <c r="B29" i="3"/>
  <c r="B31" i="3" s="1"/>
  <c r="O14" i="1" s="1"/>
  <c r="B29" i="2"/>
  <c r="B31" i="2" s="1"/>
  <c r="G14" i="1" s="1"/>
  <c r="B23" i="2"/>
  <c r="B24" i="2" s="1"/>
  <c r="B27" i="2" s="1"/>
  <c r="G17" i="1"/>
  <c r="C24" i="1"/>
  <c r="G24" i="1" l="1"/>
  <c r="G26" i="1" s="1"/>
  <c r="B27" i="4"/>
  <c r="O17" i="1" l="1"/>
  <c r="B27" i="3"/>
  <c r="K17" i="1"/>
  <c r="G29" i="1" l="1"/>
  <c r="G31" i="1" l="1"/>
  <c r="G32" i="1" s="1"/>
</calcChain>
</file>

<file path=xl/sharedStrings.xml><?xml version="1.0" encoding="utf-8"?>
<sst xmlns="http://schemas.openxmlformats.org/spreadsheetml/2006/main" count="552" uniqueCount="129">
  <si>
    <t>Key</t>
  </si>
  <si>
    <t xml:space="preserve">Given </t>
  </si>
  <si>
    <t>Intermediate Calculation</t>
  </si>
  <si>
    <t xml:space="preserve">Solution </t>
  </si>
  <si>
    <t>Quantity</t>
  </si>
  <si>
    <t xml:space="preserve">Value </t>
  </si>
  <si>
    <t xml:space="preserve">Units </t>
  </si>
  <si>
    <t>maximum growth rate</t>
  </si>
  <si>
    <r>
      <t>h</t>
    </r>
    <r>
      <rPr>
        <vertAlign val="superscript"/>
        <sz val="11"/>
        <color theme="1"/>
        <rFont val="Aptos Narrow"/>
        <family val="2"/>
        <scheme val="minor"/>
      </rPr>
      <t>-1</t>
    </r>
  </si>
  <si>
    <t>doubling time</t>
  </si>
  <si>
    <t>h</t>
  </si>
  <si>
    <t>g/L</t>
  </si>
  <si>
    <t>molar requirements CO2</t>
  </si>
  <si>
    <t>mol/mol biomass</t>
  </si>
  <si>
    <t>molar requirements NH3</t>
  </si>
  <si>
    <t>molar requirements H2</t>
  </si>
  <si>
    <t>molar requirements O2</t>
  </si>
  <si>
    <t>molar production H2O</t>
  </si>
  <si>
    <t>MW Biomass</t>
  </si>
  <si>
    <t>g/mol</t>
  </si>
  <si>
    <t>MW CO2</t>
  </si>
  <si>
    <t>MW NH3</t>
  </si>
  <si>
    <t>MW H2</t>
  </si>
  <si>
    <t>MW O2</t>
  </si>
  <si>
    <t>Yield coefficient CO2</t>
  </si>
  <si>
    <t>g biomass/g CO2</t>
  </si>
  <si>
    <t>Yield coefficient NH3</t>
  </si>
  <si>
    <t>g biomass/g NH3</t>
  </si>
  <si>
    <t>Yield coefficinet H2</t>
  </si>
  <si>
    <t>g biomass/g H2</t>
  </si>
  <si>
    <t>Yield coefficinet O2</t>
  </si>
  <si>
    <t>g biomass/gO2</t>
  </si>
  <si>
    <t xml:space="preserve">Biomass Consumption </t>
  </si>
  <si>
    <t>L</t>
  </si>
  <si>
    <t>Flowrate of CO2</t>
  </si>
  <si>
    <t>g CO2/h</t>
  </si>
  <si>
    <t>production capacity biomass</t>
  </si>
  <si>
    <t>Required NH3</t>
  </si>
  <si>
    <t>g NH3/h</t>
  </si>
  <si>
    <t>Required H2</t>
  </si>
  <si>
    <t>g H2/h</t>
  </si>
  <si>
    <t xml:space="preserve">Required O2 </t>
  </si>
  <si>
    <t>g O2/h</t>
  </si>
  <si>
    <t>Cout</t>
  </si>
  <si>
    <t>L/h</t>
  </si>
  <si>
    <t>s</t>
  </si>
  <si>
    <t xml:space="preserve">Mean Droplet Size </t>
  </si>
  <si>
    <t>mm</t>
  </si>
  <si>
    <t>Contactor Height</t>
  </si>
  <si>
    <t>m</t>
  </si>
  <si>
    <t>m3</t>
  </si>
  <si>
    <t>mean residnece time</t>
  </si>
  <si>
    <t>liquid holdup</t>
  </si>
  <si>
    <t>unitless</t>
  </si>
  <si>
    <t>required flowrate CO2</t>
  </si>
  <si>
    <t>flowrate</t>
  </si>
  <si>
    <t>Required Contactor volume</t>
  </si>
  <si>
    <t xml:space="preserve">Contactor Diameter (model) </t>
  </si>
  <si>
    <t xml:space="preserve">Required contactor diameter </t>
  </si>
  <si>
    <t xml:space="preserve">Contactor Volume (model) </t>
  </si>
  <si>
    <t>H2 Contactor</t>
  </si>
  <si>
    <t>required flowrate O2</t>
  </si>
  <si>
    <t>Required Contactor volume (converted)</t>
  </si>
  <si>
    <t xml:space="preserve">Ammonia Feed </t>
  </si>
  <si>
    <t xml:space="preserve">Required delivery rate </t>
  </si>
  <si>
    <t xml:space="preserve">density </t>
  </si>
  <si>
    <t xml:space="preserve">Volume flow </t>
  </si>
  <si>
    <t>Bioreactor Specs</t>
  </si>
  <si>
    <t xml:space="preserve">Media Flowrate </t>
  </si>
  <si>
    <t xml:space="preserve">doubling time </t>
  </si>
  <si>
    <t>required bioreactor volume</t>
  </si>
  <si>
    <t xml:space="preserve">Productivity </t>
  </si>
  <si>
    <t>g biomass/L</t>
  </si>
  <si>
    <t>O2 Partial Pressure</t>
  </si>
  <si>
    <t xml:space="preserve">atm </t>
  </si>
  <si>
    <t xml:space="preserve">CO2 Partial Pressure </t>
  </si>
  <si>
    <t>CO2 Contactor</t>
  </si>
  <si>
    <t>O2 Contactor</t>
  </si>
  <si>
    <t>Matlab Droplet Model Inputs</t>
  </si>
  <si>
    <t>H2 Partial Pressure</t>
  </si>
  <si>
    <t>Lincolnway Energy Annual Production of CO2</t>
  </si>
  <si>
    <t>91000 Tons = 83,000,000 kg/yr</t>
  </si>
  <si>
    <t>g biomass/h</t>
  </si>
  <si>
    <t>Goal: utilize 50% CO2 per year - offers flexibility depending on market demands</t>
  </si>
  <si>
    <t>metric tonne biomass/yr</t>
  </si>
  <si>
    <t>Design parameters</t>
  </si>
  <si>
    <t>Height</t>
  </si>
  <si>
    <t>Diameter</t>
  </si>
  <si>
    <t>Manifold diameter</t>
  </si>
  <si>
    <t>Manifold orifices</t>
  </si>
  <si>
    <t>Orifice diameter</t>
  </si>
  <si>
    <t>Liquid flowrate</t>
  </si>
  <si>
    <t>m3/s</t>
  </si>
  <si>
    <t>Contactor 1</t>
  </si>
  <si>
    <t>Mean Droplet Diameter</t>
  </si>
  <si>
    <t xml:space="preserve">Flowrate per orifice </t>
  </si>
  <si>
    <t xml:space="preserve">Initial concentration </t>
  </si>
  <si>
    <t xml:space="preserve">Final Concentration </t>
  </si>
  <si>
    <t xml:space="preserve">Residence Time </t>
  </si>
  <si>
    <t xml:space="preserve">s </t>
  </si>
  <si>
    <t>Operating Conditions</t>
  </si>
  <si>
    <t>Temp</t>
  </si>
  <si>
    <t>C</t>
  </si>
  <si>
    <t>Pressure</t>
  </si>
  <si>
    <t>atm</t>
  </si>
  <si>
    <t>Csat</t>
  </si>
  <si>
    <t>Orifice Density</t>
  </si>
  <si>
    <t>orifice/m2</t>
  </si>
  <si>
    <t>orifice</t>
  </si>
  <si>
    <t>Flow Conditions</t>
  </si>
  <si>
    <t>Total Contactor system flowrate</t>
  </si>
  <si>
    <t>L/s</t>
  </si>
  <si>
    <t>CO2 delivery</t>
  </si>
  <si>
    <t>g/h</t>
  </si>
  <si>
    <t>Required CO2 delivery</t>
  </si>
  <si>
    <t>Reuired number of trains</t>
  </si>
  <si>
    <t>Required H2 delivery</t>
  </si>
  <si>
    <t>H2 delivery</t>
  </si>
  <si>
    <t>Required O2 delivery</t>
  </si>
  <si>
    <t>O2 delivery</t>
  </si>
  <si>
    <t>Pressure (partial)</t>
  </si>
  <si>
    <t>Operating Time:  350 d/y = 8400h/yr</t>
  </si>
  <si>
    <t>`</t>
  </si>
  <si>
    <t xml:space="preserve">Volume holdup </t>
  </si>
  <si>
    <t xml:space="preserve">Contactor Volume </t>
  </si>
  <si>
    <t>Liquid Holdup fraction</t>
  </si>
  <si>
    <t>tha</t>
  </si>
  <si>
    <t>High LH</t>
  </si>
  <si>
    <t>Low 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</si>
</sst>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0" fontId="0" fillId="0" borderId="1" xfId="0" applyBorder="1"/>
    <xf numFmtId="2" fontId="0" fillId="3" borderId="1" xfId="0" applyNumberFormat="1" applyFill="1" applyBorder="1"/>
    <xf numFmtId="2" fontId="0" fillId="2" borderId="1" xfId="0" applyNumberFormat="1" applyFill="1" applyBorder="1"/>
    <xf numFmtId="2" fontId="0" fillId="0" borderId="0" xfId="0" applyNumberFormat="1"/>
    <xf numFmtId="2" fontId="3" fillId="4" borderId="1" xfId="0" applyNumberFormat="1" applyFont="1" applyFill="1" applyBorder="1"/>
    <xf numFmtId="2" fontId="3" fillId="2" borderId="1" xfId="0" applyNumberFormat="1" applyFont="1" applyFill="1" applyBorder="1"/>
    <xf numFmtId="2" fontId="0" fillId="4" borderId="1" xfId="0" applyNumberFormat="1" applyFill="1" applyBorder="1"/>
    <xf numFmtId="11" fontId="0" fillId="2" borderId="1" xfId="0" applyNumberFormat="1" applyFill="1" applyBorder="1"/>
    <xf numFmtId="11" fontId="0" fillId="3" borderId="1" xfId="0" applyNumberFormat="1" applyFill="1" applyBorder="1"/>
    <xf numFmtId="11" fontId="3" fillId="4" borderId="1" xfId="0" applyNumberFormat="1" applyFont="1" applyFill="1" applyBorder="1"/>
    <xf numFmtId="164" fontId="0" fillId="2" borderId="1" xfId="0" applyNumberFormat="1" applyFill="1" applyBorder="1"/>
    <xf numFmtId="11" fontId="0" fillId="4" borderId="1" xfId="0" applyNumberFormat="1" applyFill="1" applyBorder="1"/>
    <xf numFmtId="2" fontId="0" fillId="2" borderId="2" xfId="0" applyNumberFormat="1" applyFill="1" applyBorder="1"/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/>
    <xf numFmtId="11" fontId="0" fillId="5" borderId="1" xfId="0" applyNumberFormat="1" applyFill="1" applyBorder="1"/>
    <xf numFmtId="0" fontId="0" fillId="6" borderId="1" xfId="0" applyFill="1" applyBorder="1"/>
    <xf numFmtId="11" fontId="0" fillId="0" borderId="0" xfId="0" applyNumberFormat="1"/>
    <xf numFmtId="1" fontId="0" fillId="0" borderId="0" xfId="0" applyNumberFormat="1"/>
    <xf numFmtId="0" fontId="0" fillId="4" borderId="0" xfId="0" applyFill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6338-31F1-4D23-A579-E1D6CA6FDECA}">
  <dimension ref="B2:P40"/>
  <sheetViews>
    <sheetView topLeftCell="A7" workbookViewId="0">
      <selection activeCell="F38" sqref="F38"/>
    </sheetView>
  </sheetViews>
  <sheetFormatPr defaultRowHeight="15" x14ac:dyDescent="0.25"/>
  <cols>
    <col min="2" max="2" width="27.28515625" bestFit="1" customWidth="1"/>
    <col min="4" max="4" width="22.85546875" bestFit="1" customWidth="1"/>
    <col min="6" max="6" width="36" bestFit="1" customWidth="1"/>
    <col min="7" max="7" width="10.5703125" bestFit="1" customWidth="1"/>
    <col min="8" max="8" width="11.7109375" bestFit="1" customWidth="1"/>
    <col min="10" max="10" width="36" bestFit="1" customWidth="1"/>
    <col min="11" max="11" width="11.5703125" bestFit="1" customWidth="1"/>
    <col min="14" max="14" width="36" bestFit="1" customWidth="1"/>
    <col min="15" max="15" width="12.5703125" bestFit="1" customWidth="1"/>
  </cols>
  <sheetData>
    <row r="2" spans="2:16" x14ac:dyDescent="0.25">
      <c r="B2" s="1" t="s">
        <v>0</v>
      </c>
      <c r="F2" t="s">
        <v>80</v>
      </c>
    </row>
    <row r="3" spans="2:16" x14ac:dyDescent="0.25">
      <c r="B3" s="2" t="s">
        <v>1</v>
      </c>
      <c r="F3" t="s">
        <v>81</v>
      </c>
    </row>
    <row r="4" spans="2:16" x14ac:dyDescent="0.25">
      <c r="B4" s="22" t="s">
        <v>78</v>
      </c>
      <c r="F4" t="s">
        <v>121</v>
      </c>
    </row>
    <row r="5" spans="2:16" x14ac:dyDescent="0.25">
      <c r="B5" s="3" t="s">
        <v>2</v>
      </c>
      <c r="F5" t="s">
        <v>83</v>
      </c>
    </row>
    <row r="6" spans="2:16" x14ac:dyDescent="0.25">
      <c r="B6" s="4" t="s">
        <v>3</v>
      </c>
    </row>
    <row r="8" spans="2:16" x14ac:dyDescent="0.25">
      <c r="B8" s="35" t="s">
        <v>32</v>
      </c>
      <c r="C8" s="35"/>
      <c r="D8" s="35"/>
      <c r="F8" s="35" t="s">
        <v>76</v>
      </c>
      <c r="G8" s="35"/>
      <c r="H8" s="35"/>
      <c r="J8" s="35" t="s">
        <v>77</v>
      </c>
      <c r="K8" s="35"/>
      <c r="L8" s="35"/>
      <c r="N8" s="29" t="s">
        <v>60</v>
      </c>
      <c r="O8" s="30"/>
      <c r="P8" s="31"/>
    </row>
    <row r="9" spans="2:16" x14ac:dyDescent="0.25">
      <c r="B9" s="9" t="s">
        <v>4</v>
      </c>
      <c r="C9" s="9" t="s">
        <v>5</v>
      </c>
      <c r="D9" s="9" t="s">
        <v>6</v>
      </c>
      <c r="F9" s="11" t="s">
        <v>46</v>
      </c>
      <c r="G9" s="11">
        <f>'CO2 Contactor'!B9</f>
        <v>1.6</v>
      </c>
      <c r="H9" s="11" t="s">
        <v>47</v>
      </c>
      <c r="I9" s="12"/>
      <c r="J9" s="11" t="s">
        <v>46</v>
      </c>
      <c r="K9" s="11">
        <f>'O2 Contactor'!B9</f>
        <v>1.6</v>
      </c>
      <c r="L9" s="11" t="s">
        <v>47</v>
      </c>
      <c r="M9" s="12"/>
      <c r="N9" s="11" t="s">
        <v>46</v>
      </c>
      <c r="O9" s="11">
        <f>'H2 Contactor'!B9</f>
        <v>1.6</v>
      </c>
      <c r="P9" s="11" t="s">
        <v>47</v>
      </c>
    </row>
    <row r="10" spans="2:16" ht="16.5" x14ac:dyDescent="0.25">
      <c r="B10" s="5" t="s">
        <v>7</v>
      </c>
      <c r="C10" s="5">
        <v>0.12</v>
      </c>
      <c r="D10" s="5" t="s">
        <v>8</v>
      </c>
      <c r="F10" s="11" t="s">
        <v>48</v>
      </c>
      <c r="G10" s="11">
        <f>'CO2 Contactor'!B2</f>
        <v>4</v>
      </c>
      <c r="H10" s="11" t="s">
        <v>49</v>
      </c>
      <c r="I10" s="12"/>
      <c r="J10" s="11" t="s">
        <v>48</v>
      </c>
      <c r="K10" s="11">
        <f>'O2 Contactor'!B2</f>
        <v>4</v>
      </c>
      <c r="L10" s="11" t="s">
        <v>49</v>
      </c>
      <c r="M10" s="12"/>
      <c r="N10" s="11" t="s">
        <v>48</v>
      </c>
      <c r="O10" s="11">
        <f>'H2 Contactor'!B2</f>
        <v>4</v>
      </c>
      <c r="P10" s="11" t="s">
        <v>49</v>
      </c>
    </row>
    <row r="11" spans="2:16" x14ac:dyDescent="0.25">
      <c r="B11" s="6" t="s">
        <v>9</v>
      </c>
      <c r="C11" s="7">
        <f>LN(2)/C10</f>
        <v>5.7762265046662113</v>
      </c>
      <c r="D11" s="6" t="s">
        <v>10</v>
      </c>
      <c r="F11" s="11" t="s">
        <v>57</v>
      </c>
      <c r="G11" s="11">
        <f>'CO2 Contactor'!B3</f>
        <v>10</v>
      </c>
      <c r="H11" s="11" t="s">
        <v>49</v>
      </c>
      <c r="I11" s="12"/>
      <c r="J11" s="11" t="s">
        <v>57</v>
      </c>
      <c r="K11" s="11">
        <f>'O2 Contactor'!B3</f>
        <v>10</v>
      </c>
      <c r="L11" s="11" t="s">
        <v>49</v>
      </c>
      <c r="M11" s="12"/>
      <c r="N11" s="11" t="s">
        <v>57</v>
      </c>
      <c r="O11" s="11">
        <f>'H2 Contactor'!B3</f>
        <v>10</v>
      </c>
      <c r="P11" s="11" t="s">
        <v>49</v>
      </c>
    </row>
    <row r="12" spans="2:16" x14ac:dyDescent="0.25">
      <c r="B12" s="5" t="s">
        <v>12</v>
      </c>
      <c r="C12" s="5">
        <f>4.09</f>
        <v>4.09</v>
      </c>
      <c r="D12" s="5" t="s">
        <v>13</v>
      </c>
      <c r="F12" s="10" t="s">
        <v>59</v>
      </c>
      <c r="G12" s="10">
        <f>PI()/4*G11^2*G10</f>
        <v>314.15926535897933</v>
      </c>
      <c r="H12" s="10" t="s">
        <v>50</v>
      </c>
      <c r="I12" s="12"/>
      <c r="J12" s="10" t="s">
        <v>59</v>
      </c>
      <c r="K12" s="10">
        <f>PI()/4*K11^2*K10</f>
        <v>314.15926535897933</v>
      </c>
      <c r="L12" s="10" t="s">
        <v>50</v>
      </c>
      <c r="M12" s="12"/>
      <c r="N12" s="10" t="s">
        <v>59</v>
      </c>
      <c r="O12" s="10">
        <f>PI()/4*O11^2*O10</f>
        <v>314.15926535897933</v>
      </c>
      <c r="P12" s="10" t="s">
        <v>50</v>
      </c>
    </row>
    <row r="13" spans="2:16" x14ac:dyDescent="0.25">
      <c r="B13" s="5" t="s">
        <v>14</v>
      </c>
      <c r="C13" s="5">
        <v>0.76</v>
      </c>
      <c r="D13" s="5" t="s">
        <v>13</v>
      </c>
      <c r="F13" s="23" t="s">
        <v>51</v>
      </c>
      <c r="G13" s="23">
        <f>'CO2 Contactor'!B20</f>
        <v>1.0146999999999999</v>
      </c>
      <c r="H13" s="23" t="s">
        <v>45</v>
      </c>
      <c r="I13" s="12"/>
      <c r="J13" s="11" t="s">
        <v>51</v>
      </c>
      <c r="K13" s="11">
        <f>'O2 Contactor'!B20</f>
        <v>1.0146999999999999</v>
      </c>
      <c r="L13" s="11" t="s">
        <v>45</v>
      </c>
      <c r="M13" s="12"/>
      <c r="N13" s="11" t="s">
        <v>51</v>
      </c>
      <c r="O13" s="11">
        <f>'H2 Contactor'!B20</f>
        <v>1.0146999999999999</v>
      </c>
      <c r="P13" s="11" t="s">
        <v>45</v>
      </c>
    </row>
    <row r="14" spans="2:16" x14ac:dyDescent="0.25">
      <c r="B14" s="5" t="s">
        <v>15</v>
      </c>
      <c r="C14" s="5">
        <v>21.36</v>
      </c>
      <c r="D14" s="5" t="s">
        <v>13</v>
      </c>
      <c r="F14" s="23" t="s">
        <v>52</v>
      </c>
      <c r="G14" s="24">
        <f>'CO2 Contactor'!B31</f>
        <v>1.8647021362098314E-3</v>
      </c>
      <c r="H14" s="23" t="s">
        <v>53</v>
      </c>
      <c r="I14" s="12"/>
      <c r="J14" s="11" t="s">
        <v>52</v>
      </c>
      <c r="K14" s="16">
        <f>'O2 Contactor'!B31</f>
        <v>1.8647021362098314E-3</v>
      </c>
      <c r="L14" s="11" t="s">
        <v>53</v>
      </c>
      <c r="M14" s="12"/>
      <c r="N14" s="11" t="s">
        <v>52</v>
      </c>
      <c r="O14" s="16">
        <f>'H2 Contactor'!B31</f>
        <v>1.8647021362098314E-3</v>
      </c>
      <c r="P14" s="11" t="s">
        <v>53</v>
      </c>
    </row>
    <row r="15" spans="2:16" x14ac:dyDescent="0.25">
      <c r="B15" s="5" t="s">
        <v>16</v>
      </c>
      <c r="C15" s="5">
        <v>6.21</v>
      </c>
      <c r="D15" s="5" t="s">
        <v>13</v>
      </c>
      <c r="F15" s="21" t="s">
        <v>75</v>
      </c>
      <c r="G15" s="21">
        <f>'CO2 Contactor'!B14</f>
        <v>0.1</v>
      </c>
      <c r="H15" s="21" t="s">
        <v>74</v>
      </c>
      <c r="I15" s="12"/>
      <c r="J15" s="21" t="s">
        <v>73</v>
      </c>
      <c r="K15" s="21">
        <f>'O2 Contactor'!B14</f>
        <v>3.9</v>
      </c>
      <c r="L15" s="21" t="s">
        <v>74</v>
      </c>
      <c r="M15" s="12"/>
      <c r="N15" s="11" t="s">
        <v>79</v>
      </c>
      <c r="O15" s="21">
        <v>1</v>
      </c>
      <c r="P15" s="21" t="s">
        <v>74</v>
      </c>
    </row>
    <row r="16" spans="2:16" x14ac:dyDescent="0.25">
      <c r="B16" s="5" t="s">
        <v>17</v>
      </c>
      <c r="C16" s="5">
        <v>18.7</v>
      </c>
      <c r="D16" s="5" t="s">
        <v>13</v>
      </c>
      <c r="F16" s="23" t="s">
        <v>43</v>
      </c>
      <c r="G16" s="23">
        <v>0.12</v>
      </c>
      <c r="H16" s="23" t="s">
        <v>11</v>
      </c>
      <c r="I16" s="12"/>
      <c r="J16" s="23" t="s">
        <v>43</v>
      </c>
      <c r="K16" s="23">
        <v>0.13</v>
      </c>
      <c r="L16" s="23" t="s">
        <v>11</v>
      </c>
      <c r="M16" s="12"/>
      <c r="N16" s="23" t="s">
        <v>43</v>
      </c>
      <c r="O16" s="24">
        <v>7.0000000000000007E-2</v>
      </c>
      <c r="P16" s="23" t="s">
        <v>11</v>
      </c>
    </row>
    <row r="17" spans="2:16" x14ac:dyDescent="0.25">
      <c r="B17" s="5" t="s">
        <v>18</v>
      </c>
      <c r="C17" s="5">
        <f>4.09*12+7.13+1.89*16+14*0.76</f>
        <v>97.09</v>
      </c>
      <c r="D17" s="5" t="s">
        <v>19</v>
      </c>
      <c r="F17" s="11" t="s">
        <v>54</v>
      </c>
      <c r="G17" s="11">
        <f>C26</f>
        <v>4908000</v>
      </c>
      <c r="H17" s="11" t="s">
        <v>35</v>
      </c>
      <c r="I17" s="12"/>
      <c r="J17" s="11" t="s">
        <v>61</v>
      </c>
      <c r="K17" s="11">
        <f>C31</f>
        <v>5419636.3636363642</v>
      </c>
      <c r="L17" s="11" t="s">
        <v>42</v>
      </c>
      <c r="M17" s="12"/>
      <c r="N17" s="11" t="s">
        <v>54</v>
      </c>
      <c r="O17" s="11">
        <f>C30</f>
        <v>1165090.9090909092</v>
      </c>
      <c r="P17" s="11" t="s">
        <v>40</v>
      </c>
    </row>
    <row r="18" spans="2:16" x14ac:dyDescent="0.25">
      <c r="B18" s="5" t="s">
        <v>20</v>
      </c>
      <c r="C18" s="5">
        <f>12+16*2</f>
        <v>44</v>
      </c>
      <c r="D18" s="5" t="s">
        <v>19</v>
      </c>
      <c r="F18" s="13" t="s">
        <v>55</v>
      </c>
      <c r="G18" s="18"/>
      <c r="H18" s="13" t="s">
        <v>44</v>
      </c>
      <c r="I18" s="12"/>
      <c r="J18" s="13" t="s">
        <v>55</v>
      </c>
      <c r="K18" s="18"/>
      <c r="L18" s="13" t="s">
        <v>44</v>
      </c>
      <c r="M18" s="12"/>
      <c r="N18" s="13" t="s">
        <v>55</v>
      </c>
      <c r="O18" s="18"/>
      <c r="P18" s="13" t="s">
        <v>44</v>
      </c>
    </row>
    <row r="19" spans="2:16" x14ac:dyDescent="0.25">
      <c r="B19" s="5" t="s">
        <v>21</v>
      </c>
      <c r="C19" s="5">
        <v>17</v>
      </c>
      <c r="D19" s="5" t="s">
        <v>19</v>
      </c>
      <c r="F19" s="13" t="s">
        <v>56</v>
      </c>
      <c r="G19" s="18"/>
      <c r="H19" s="13" t="s">
        <v>33</v>
      </c>
      <c r="I19" s="12"/>
      <c r="J19" s="13" t="s">
        <v>56</v>
      </c>
      <c r="K19" s="18"/>
      <c r="L19" s="13" t="s">
        <v>33</v>
      </c>
      <c r="M19" s="12"/>
      <c r="N19" s="13" t="s">
        <v>56</v>
      </c>
      <c r="O19" s="18"/>
      <c r="P19" s="13" t="s">
        <v>33</v>
      </c>
    </row>
    <row r="20" spans="2:16" x14ac:dyDescent="0.25">
      <c r="B20" s="5" t="s">
        <v>22</v>
      </c>
      <c r="C20" s="5">
        <v>2</v>
      </c>
      <c r="D20" s="5" t="s">
        <v>19</v>
      </c>
      <c r="F20" s="13" t="s">
        <v>62</v>
      </c>
      <c r="G20" s="18"/>
      <c r="H20" s="13" t="s">
        <v>50</v>
      </c>
      <c r="I20" s="12"/>
      <c r="J20" s="13" t="s">
        <v>62</v>
      </c>
      <c r="K20" s="18"/>
      <c r="L20" s="13" t="s">
        <v>50</v>
      </c>
      <c r="M20" s="12"/>
      <c r="N20" s="13" t="s">
        <v>62</v>
      </c>
      <c r="O20" s="18"/>
      <c r="P20" s="13" t="s">
        <v>50</v>
      </c>
    </row>
    <row r="21" spans="2:16" x14ac:dyDescent="0.25">
      <c r="B21" s="5" t="s">
        <v>23</v>
      </c>
      <c r="C21" s="5">
        <v>32</v>
      </c>
      <c r="D21" s="5" t="s">
        <v>19</v>
      </c>
      <c r="F21" s="13" t="s">
        <v>58</v>
      </c>
      <c r="G21" s="13"/>
      <c r="H21" s="13" t="s">
        <v>49</v>
      </c>
      <c r="I21" s="12"/>
      <c r="J21" s="13" t="s">
        <v>58</v>
      </c>
      <c r="K21" s="13"/>
      <c r="L21" s="13" t="s">
        <v>49</v>
      </c>
      <c r="M21" s="12"/>
      <c r="N21" s="13" t="s">
        <v>58</v>
      </c>
      <c r="O21" s="13"/>
      <c r="P21" s="13" t="s">
        <v>49</v>
      </c>
    </row>
    <row r="22" spans="2:16" x14ac:dyDescent="0.25">
      <c r="B22" s="6" t="s">
        <v>24</v>
      </c>
      <c r="C22" s="10">
        <f>C17/(C12*C18)</f>
        <v>0.53950877972882871</v>
      </c>
      <c r="D22" s="6" t="s">
        <v>25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2:16" x14ac:dyDescent="0.25">
      <c r="B23" s="6" t="s">
        <v>26</v>
      </c>
      <c r="C23" s="10">
        <f>C17/(C13*C19)</f>
        <v>7.5147058823529411</v>
      </c>
      <c r="D23" s="6" t="s">
        <v>27</v>
      </c>
      <c r="F23" s="32" t="s">
        <v>63</v>
      </c>
      <c r="G23" s="33"/>
      <c r="H23" s="34"/>
      <c r="I23" s="12"/>
      <c r="J23" s="12"/>
      <c r="K23" s="12"/>
      <c r="L23" s="12"/>
      <c r="M23" s="12"/>
      <c r="N23" s="12"/>
      <c r="O23" s="12"/>
      <c r="P23" s="12"/>
    </row>
    <row r="24" spans="2:16" x14ac:dyDescent="0.25">
      <c r="B24" s="6" t="s">
        <v>28</v>
      </c>
      <c r="C24" s="10">
        <f>C17/(C14*C20)</f>
        <v>2.2727059925093633</v>
      </c>
      <c r="D24" s="6" t="s">
        <v>29</v>
      </c>
      <c r="F24" s="14" t="s">
        <v>64</v>
      </c>
      <c r="G24" s="11">
        <f>C29</f>
        <v>352363.63636363641</v>
      </c>
      <c r="H24" s="14" t="s">
        <v>38</v>
      </c>
      <c r="I24" s="12"/>
      <c r="J24" s="12"/>
      <c r="K24" s="12"/>
      <c r="L24" s="12"/>
      <c r="M24" s="12"/>
      <c r="N24" s="12"/>
      <c r="O24" s="12"/>
      <c r="P24" s="12"/>
    </row>
    <row r="25" spans="2:16" x14ac:dyDescent="0.25">
      <c r="B25" s="6" t="s">
        <v>30</v>
      </c>
      <c r="C25" s="10">
        <f>C17/(C15*C21)</f>
        <v>0.48857689210950084</v>
      </c>
      <c r="D25" s="6" t="s">
        <v>31</v>
      </c>
      <c r="F25" s="14" t="s">
        <v>65</v>
      </c>
      <c r="G25" s="11">
        <v>0.97</v>
      </c>
      <c r="H25" s="14" t="s">
        <v>11</v>
      </c>
      <c r="I25" s="12"/>
      <c r="J25" s="12"/>
      <c r="K25" s="12"/>
      <c r="L25" s="12"/>
      <c r="M25" s="12"/>
      <c r="N25" s="12"/>
      <c r="O25" s="12"/>
      <c r="P25" s="12"/>
    </row>
    <row r="26" spans="2:16" x14ac:dyDescent="0.25">
      <c r="B26" s="25" t="s">
        <v>34</v>
      </c>
      <c r="C26" s="25">
        <f>4908*1000</f>
        <v>4908000</v>
      </c>
      <c r="D26" s="25" t="s">
        <v>35</v>
      </c>
      <c r="F26" s="13" t="s">
        <v>66</v>
      </c>
      <c r="G26" s="15">
        <f>G24/G25</f>
        <v>363261.48078725406</v>
      </c>
      <c r="H26" s="15" t="s">
        <v>44</v>
      </c>
      <c r="I26" s="12"/>
      <c r="N26" s="12"/>
      <c r="O26" s="12"/>
      <c r="P26" s="12"/>
    </row>
    <row r="27" spans="2:16" x14ac:dyDescent="0.25">
      <c r="B27" s="6" t="s">
        <v>36</v>
      </c>
      <c r="C27" s="6">
        <f>C26*C22</f>
        <v>2647909.0909090913</v>
      </c>
      <c r="D27" s="6" t="s">
        <v>82</v>
      </c>
    </row>
    <row r="28" spans="2:16" x14ac:dyDescent="0.25">
      <c r="B28" s="6" t="s">
        <v>36</v>
      </c>
      <c r="C28" s="6">
        <f>C27*8160/1000/1000</f>
        <v>21606.938181818183</v>
      </c>
      <c r="D28" s="6" t="s">
        <v>84</v>
      </c>
      <c r="F28" s="29" t="s">
        <v>67</v>
      </c>
      <c r="G28" s="30"/>
      <c r="H28" s="31"/>
    </row>
    <row r="29" spans="2:16" x14ac:dyDescent="0.25">
      <c r="B29" s="8" t="s">
        <v>37</v>
      </c>
      <c r="C29" s="8">
        <f>C27/C23</f>
        <v>352363.63636363641</v>
      </c>
      <c r="D29" s="8" t="s">
        <v>38</v>
      </c>
      <c r="F29" s="6" t="s">
        <v>68</v>
      </c>
      <c r="G29" s="17">
        <f>SUM(G18+O18+G26)</f>
        <v>363261.48078725406</v>
      </c>
      <c r="H29" s="6" t="s">
        <v>44</v>
      </c>
    </row>
    <row r="30" spans="2:16" x14ac:dyDescent="0.25">
      <c r="B30" s="8" t="s">
        <v>39</v>
      </c>
      <c r="C30" s="8">
        <f>C27/C24</f>
        <v>1165090.9090909092</v>
      </c>
      <c r="D30" s="8" t="s">
        <v>40</v>
      </c>
      <c r="F30" s="5" t="s">
        <v>69</v>
      </c>
      <c r="G30" s="19">
        <f>C11</f>
        <v>5.7762265046662113</v>
      </c>
      <c r="H30" s="5" t="s">
        <v>10</v>
      </c>
    </row>
    <row r="31" spans="2:16" x14ac:dyDescent="0.25">
      <c r="B31" s="8" t="s">
        <v>41</v>
      </c>
      <c r="C31" s="8">
        <f>C27/C25</f>
        <v>5419636.3636363642</v>
      </c>
      <c r="D31" s="8" t="s">
        <v>42</v>
      </c>
      <c r="F31" s="8" t="s">
        <v>70</v>
      </c>
      <c r="G31" s="20">
        <f>G29*G30</f>
        <v>2098280.5934476326</v>
      </c>
      <c r="H31" s="8" t="s">
        <v>33</v>
      </c>
    </row>
    <row r="32" spans="2:16" x14ac:dyDescent="0.25">
      <c r="F32" s="8" t="s">
        <v>71</v>
      </c>
      <c r="G32" s="20">
        <f>C27/G31</f>
        <v>1.2619423251484101</v>
      </c>
      <c r="H32" s="8" t="s">
        <v>72</v>
      </c>
    </row>
    <row r="33" spans="3:6" x14ac:dyDescent="0.25">
      <c r="C33">
        <f>C26/1000</f>
        <v>4908</v>
      </c>
      <c r="D33" s="28"/>
    </row>
    <row r="35" spans="3:6" x14ac:dyDescent="0.25">
      <c r="C35">
        <f>1/C15*C17</f>
        <v>15.634460547504025</v>
      </c>
    </row>
    <row r="36" spans="3:6" x14ac:dyDescent="0.25">
      <c r="C36">
        <f>1/C25</f>
        <v>2.0467607374600885</v>
      </c>
      <c r="E36" t="s">
        <v>122</v>
      </c>
    </row>
    <row r="37" spans="3:6" x14ac:dyDescent="0.25">
      <c r="C37">
        <f>C27*C36/1000</f>
        <v>5419.636363636364</v>
      </c>
    </row>
    <row r="40" spans="3:6" x14ac:dyDescent="0.25">
      <c r="F40" t="s">
        <v>126</v>
      </c>
    </row>
  </sheetData>
  <mergeCells count="6">
    <mergeCell ref="F28:H28"/>
    <mergeCell ref="F23:H23"/>
    <mergeCell ref="N8:P8"/>
    <mergeCell ref="B8:D8"/>
    <mergeCell ref="F8:H8"/>
    <mergeCell ref="J8:L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FEEF4-8A1C-49CD-81BB-8EFE4A9DACE4}">
  <dimension ref="A1:K31"/>
  <sheetViews>
    <sheetView tabSelected="1" workbookViewId="0">
      <selection activeCell="J20" sqref="J20"/>
    </sheetView>
  </sheetViews>
  <sheetFormatPr defaultRowHeight="15" x14ac:dyDescent="0.25"/>
  <cols>
    <col min="1" max="1" width="29.140625" bestFit="1" customWidth="1"/>
    <col min="2" max="2" width="10.5703125" bestFit="1" customWidth="1"/>
    <col min="3" max="3" width="10" bestFit="1" customWidth="1"/>
    <col min="5" max="5" width="29.140625" bestFit="1" customWidth="1"/>
    <col min="6" max="6" width="12" bestFit="1" customWidth="1"/>
    <col min="9" max="9" width="21.5703125" bestFit="1" customWidth="1"/>
    <col min="10" max="10" width="12" bestFit="1" customWidth="1"/>
  </cols>
  <sheetData>
    <row r="1" spans="1:11" x14ac:dyDescent="0.25">
      <c r="A1" t="s">
        <v>85</v>
      </c>
      <c r="E1" t="s">
        <v>127</v>
      </c>
      <c r="I1" t="s">
        <v>128</v>
      </c>
    </row>
    <row r="2" spans="1:11" x14ac:dyDescent="0.25">
      <c r="A2" t="s">
        <v>86</v>
      </c>
      <c r="B2">
        <v>4</v>
      </c>
      <c r="C2" t="s">
        <v>49</v>
      </c>
      <c r="E2" t="s">
        <v>86</v>
      </c>
      <c r="F2">
        <v>4</v>
      </c>
      <c r="G2" t="s">
        <v>49</v>
      </c>
      <c r="I2" t="s">
        <v>86</v>
      </c>
      <c r="J2">
        <v>4</v>
      </c>
      <c r="K2" t="s">
        <v>49</v>
      </c>
    </row>
    <row r="3" spans="1:11" x14ac:dyDescent="0.25">
      <c r="A3" t="s">
        <v>87</v>
      </c>
      <c r="B3">
        <v>10</v>
      </c>
      <c r="C3" t="s">
        <v>49</v>
      </c>
      <c r="E3" t="s">
        <v>87</v>
      </c>
      <c r="F3">
        <v>10</v>
      </c>
      <c r="G3" t="s">
        <v>49</v>
      </c>
      <c r="I3" t="s">
        <v>87</v>
      </c>
      <c r="J3">
        <v>10</v>
      </c>
      <c r="K3" t="s">
        <v>49</v>
      </c>
    </row>
    <row r="4" spans="1:11" x14ac:dyDescent="0.25">
      <c r="A4" t="s">
        <v>88</v>
      </c>
      <c r="B4">
        <f>B3-0.1</f>
        <v>9.9</v>
      </c>
      <c r="C4" t="s">
        <v>49</v>
      </c>
      <c r="E4" t="s">
        <v>88</v>
      </c>
      <c r="F4">
        <f>F3-0.1</f>
        <v>9.9</v>
      </c>
      <c r="G4" t="s">
        <v>49</v>
      </c>
      <c r="I4" t="s">
        <v>88</v>
      </c>
      <c r="J4">
        <f>J3-0.1</f>
        <v>9.9</v>
      </c>
      <c r="K4" t="s">
        <v>49</v>
      </c>
    </row>
    <row r="5" spans="1:11" x14ac:dyDescent="0.25">
      <c r="A5" t="s">
        <v>106</v>
      </c>
      <c r="B5">
        <v>20000</v>
      </c>
      <c r="C5" t="s">
        <v>107</v>
      </c>
      <c r="E5" t="s">
        <v>106</v>
      </c>
      <c r="F5">
        <f>B5*20</f>
        <v>400000</v>
      </c>
      <c r="G5" t="s">
        <v>107</v>
      </c>
      <c r="I5" t="s">
        <v>106</v>
      </c>
      <c r="J5">
        <f>B5/10</f>
        <v>2000</v>
      </c>
      <c r="K5" t="s">
        <v>107</v>
      </c>
    </row>
    <row r="6" spans="1:11" x14ac:dyDescent="0.25">
      <c r="A6" t="s">
        <v>89</v>
      </c>
      <c r="B6">
        <f>ROUNDUP(B5*(PI()*(B4/2)^2),0)</f>
        <v>1539538</v>
      </c>
      <c r="C6" t="s">
        <v>108</v>
      </c>
      <c r="E6" t="s">
        <v>89</v>
      </c>
      <c r="F6">
        <f>ROUNDUP(F5*(PI()*(F4/2)^2),0)</f>
        <v>30790750</v>
      </c>
      <c r="G6" t="s">
        <v>108</v>
      </c>
      <c r="I6" t="s">
        <v>89</v>
      </c>
      <c r="J6">
        <f>ROUNDUP(J5*(PI()*(J4/2)^2),0)</f>
        <v>153954</v>
      </c>
      <c r="K6" t="s">
        <v>108</v>
      </c>
    </row>
    <row r="7" spans="1:11" x14ac:dyDescent="0.25">
      <c r="A7" t="s">
        <v>90</v>
      </c>
      <c r="B7">
        <v>0.8</v>
      </c>
      <c r="C7" t="s">
        <v>47</v>
      </c>
      <c r="E7" t="s">
        <v>90</v>
      </c>
      <c r="F7">
        <v>0.8</v>
      </c>
      <c r="G7" t="s">
        <v>47</v>
      </c>
      <c r="I7" t="s">
        <v>90</v>
      </c>
      <c r="J7">
        <v>0.8</v>
      </c>
      <c r="K7" t="s">
        <v>47</v>
      </c>
    </row>
    <row r="8" spans="1:11" x14ac:dyDescent="0.25">
      <c r="A8" t="s">
        <v>91</v>
      </c>
      <c r="B8" s="26">
        <f>B10*B6</f>
        <v>0.57732675</v>
      </c>
      <c r="C8" t="s">
        <v>92</v>
      </c>
      <c r="E8" t="s">
        <v>91</v>
      </c>
      <c r="F8" s="26">
        <f>F10*F6</f>
        <v>11.546531250000001</v>
      </c>
      <c r="G8" t="s">
        <v>92</v>
      </c>
      <c r="I8" t="s">
        <v>91</v>
      </c>
      <c r="J8" s="26">
        <f>J10*J6</f>
        <v>5.7732749999999999E-2</v>
      </c>
      <c r="K8" t="s">
        <v>92</v>
      </c>
    </row>
    <row r="9" spans="1:11" x14ac:dyDescent="0.25">
      <c r="A9" t="s">
        <v>94</v>
      </c>
      <c r="B9">
        <v>1.6</v>
      </c>
      <c r="C9" t="s">
        <v>47</v>
      </c>
      <c r="E9" t="s">
        <v>94</v>
      </c>
      <c r="F9">
        <v>1.6</v>
      </c>
      <c r="G9" t="s">
        <v>47</v>
      </c>
      <c r="I9" t="s">
        <v>94</v>
      </c>
      <c r="J9">
        <v>1.6</v>
      </c>
      <c r="K9" t="s">
        <v>47</v>
      </c>
    </row>
    <row r="10" spans="1:11" x14ac:dyDescent="0.25">
      <c r="A10" t="s">
        <v>95</v>
      </c>
      <c r="B10" s="26">
        <v>3.7500000000000001E-7</v>
      </c>
      <c r="C10" t="s">
        <v>92</v>
      </c>
      <c r="E10" t="s">
        <v>95</v>
      </c>
      <c r="F10" s="26">
        <v>3.7500000000000001E-7</v>
      </c>
      <c r="G10" t="s">
        <v>92</v>
      </c>
      <c r="I10" t="s">
        <v>95</v>
      </c>
      <c r="J10" s="26">
        <v>3.7500000000000001E-7</v>
      </c>
      <c r="K10" t="s">
        <v>92</v>
      </c>
    </row>
    <row r="12" spans="1:11" x14ac:dyDescent="0.25">
      <c r="A12" t="s">
        <v>100</v>
      </c>
      <c r="E12" t="s">
        <v>100</v>
      </c>
      <c r="I12" t="s">
        <v>100</v>
      </c>
    </row>
    <row r="13" spans="1:11" x14ac:dyDescent="0.25">
      <c r="A13" t="s">
        <v>101</v>
      </c>
      <c r="B13">
        <v>30</v>
      </c>
      <c r="C13" t="s">
        <v>102</v>
      </c>
      <c r="E13" t="s">
        <v>101</v>
      </c>
      <c r="F13">
        <v>30</v>
      </c>
      <c r="G13" t="s">
        <v>102</v>
      </c>
      <c r="I13" t="s">
        <v>101</v>
      </c>
      <c r="J13">
        <v>30</v>
      </c>
      <c r="K13" t="s">
        <v>102</v>
      </c>
    </row>
    <row r="14" spans="1:11" x14ac:dyDescent="0.25">
      <c r="A14" t="s">
        <v>120</v>
      </c>
      <c r="B14">
        <v>0.1</v>
      </c>
      <c r="C14" t="s">
        <v>104</v>
      </c>
      <c r="E14" t="s">
        <v>120</v>
      </c>
      <c r="F14">
        <v>0.1</v>
      </c>
      <c r="G14" t="s">
        <v>104</v>
      </c>
      <c r="I14" t="s">
        <v>120</v>
      </c>
      <c r="J14">
        <v>0.1</v>
      </c>
      <c r="K14" t="s">
        <v>104</v>
      </c>
    </row>
    <row r="15" spans="1:11" x14ac:dyDescent="0.25">
      <c r="A15" t="s">
        <v>105</v>
      </c>
      <c r="B15">
        <v>0.11</v>
      </c>
      <c r="C15" t="s">
        <v>11</v>
      </c>
      <c r="E15" t="s">
        <v>105</v>
      </c>
      <c r="F15">
        <v>0.11</v>
      </c>
      <c r="G15" t="s">
        <v>11</v>
      </c>
      <c r="I15" t="s">
        <v>105</v>
      </c>
      <c r="J15">
        <v>0.11</v>
      </c>
      <c r="K15" t="s">
        <v>11</v>
      </c>
    </row>
    <row r="17" spans="1:11" x14ac:dyDescent="0.25">
      <c r="A17" t="s">
        <v>93</v>
      </c>
      <c r="E17" t="s">
        <v>93</v>
      </c>
      <c r="I17" t="s">
        <v>93</v>
      </c>
    </row>
    <row r="18" spans="1:11" x14ac:dyDescent="0.25">
      <c r="A18" t="s">
        <v>96</v>
      </c>
      <c r="B18">
        <v>0</v>
      </c>
      <c r="C18" t="s">
        <v>11</v>
      </c>
      <c r="E18" t="s">
        <v>96</v>
      </c>
      <c r="F18">
        <v>0</v>
      </c>
      <c r="G18" t="s">
        <v>11</v>
      </c>
      <c r="I18" t="s">
        <v>96</v>
      </c>
      <c r="J18">
        <v>0</v>
      </c>
      <c r="K18" t="s">
        <v>11</v>
      </c>
    </row>
    <row r="19" spans="1:11" x14ac:dyDescent="0.25">
      <c r="A19" t="s">
        <v>97</v>
      </c>
      <c r="B19">
        <v>0.1</v>
      </c>
      <c r="C19" t="s">
        <v>11</v>
      </c>
      <c r="E19" t="s">
        <v>97</v>
      </c>
      <c r="F19">
        <v>0.1</v>
      </c>
      <c r="G19" t="s">
        <v>11</v>
      </c>
      <c r="I19" t="s">
        <v>97</v>
      </c>
      <c r="J19">
        <v>0.1</v>
      </c>
      <c r="K19" t="s">
        <v>11</v>
      </c>
    </row>
    <row r="20" spans="1:11" x14ac:dyDescent="0.25">
      <c r="A20" t="s">
        <v>98</v>
      </c>
      <c r="B20">
        <v>1.0146999999999999</v>
      </c>
      <c r="C20" t="s">
        <v>99</v>
      </c>
      <c r="E20" t="s">
        <v>98</v>
      </c>
      <c r="F20">
        <v>1.0146999999999999</v>
      </c>
      <c r="G20" t="s">
        <v>99</v>
      </c>
      <c r="I20" t="s">
        <v>98</v>
      </c>
      <c r="J20">
        <v>1.0146999999999999</v>
      </c>
      <c r="K20" t="s">
        <v>99</v>
      </c>
    </row>
    <row r="22" spans="1:11" x14ac:dyDescent="0.25">
      <c r="A22" t="s">
        <v>109</v>
      </c>
      <c r="E22" t="s">
        <v>109</v>
      </c>
      <c r="I22" t="s">
        <v>109</v>
      </c>
    </row>
    <row r="23" spans="1:11" x14ac:dyDescent="0.25">
      <c r="A23" t="s">
        <v>110</v>
      </c>
      <c r="B23" s="12">
        <f>B8*1000</f>
        <v>577.32674999999995</v>
      </c>
      <c r="C23" t="s">
        <v>111</v>
      </c>
      <c r="E23" t="s">
        <v>110</v>
      </c>
      <c r="F23" s="12">
        <f>F8*1000</f>
        <v>11546.531250000002</v>
      </c>
      <c r="G23" t="s">
        <v>111</v>
      </c>
      <c r="I23" t="s">
        <v>110</v>
      </c>
      <c r="J23" s="12">
        <f>J8*1000</f>
        <v>57.732749999999996</v>
      </c>
      <c r="K23" t="s">
        <v>111</v>
      </c>
    </row>
    <row r="24" spans="1:11" x14ac:dyDescent="0.25">
      <c r="A24" t="s">
        <v>112</v>
      </c>
      <c r="B24" s="12">
        <f>B23*B19*3600</f>
        <v>207837.63</v>
      </c>
      <c r="C24" t="s">
        <v>113</v>
      </c>
      <c r="E24" t="s">
        <v>112</v>
      </c>
      <c r="F24" s="12">
        <f>F23*F19*3600</f>
        <v>4156751.2500000009</v>
      </c>
      <c r="G24" t="s">
        <v>113</v>
      </c>
      <c r="I24" t="s">
        <v>112</v>
      </c>
      <c r="J24" s="12">
        <f>J23*J19*3600</f>
        <v>20783.79</v>
      </c>
      <c r="K24" t="s">
        <v>113</v>
      </c>
    </row>
    <row r="25" spans="1:11" x14ac:dyDescent="0.25">
      <c r="B25" s="12"/>
      <c r="F25" s="12"/>
      <c r="J25" s="12"/>
    </row>
    <row r="26" spans="1:11" x14ac:dyDescent="0.25">
      <c r="A26" t="s">
        <v>114</v>
      </c>
      <c r="B26" s="12">
        <f>'Modeling SCP'!$C$26</f>
        <v>4908000</v>
      </c>
      <c r="C26" t="s">
        <v>113</v>
      </c>
      <c r="E26" t="s">
        <v>114</v>
      </c>
      <c r="F26" s="12">
        <f>'Modeling SCP'!$C$26</f>
        <v>4908000</v>
      </c>
      <c r="G26" t="s">
        <v>113</v>
      </c>
      <c r="I26" t="s">
        <v>114</v>
      </c>
      <c r="J26" s="12">
        <f>'Modeling SCP'!$C$26</f>
        <v>4908000</v>
      </c>
      <c r="K26" t="s">
        <v>113</v>
      </c>
    </row>
    <row r="27" spans="1:11" x14ac:dyDescent="0.25">
      <c r="A27" t="s">
        <v>115</v>
      </c>
      <c r="B27" s="27">
        <f>ROUNDUP(B26/B24,0)</f>
        <v>24</v>
      </c>
      <c r="E27" t="s">
        <v>115</v>
      </c>
      <c r="F27" s="27">
        <f>ROUNDUP(F26/F24,0)</f>
        <v>2</v>
      </c>
      <c r="I27" t="s">
        <v>115</v>
      </c>
      <c r="J27" s="27">
        <f>ROUNDUP(J26/J24,0)</f>
        <v>237</v>
      </c>
    </row>
    <row r="29" spans="1:11" x14ac:dyDescent="0.25">
      <c r="A29" t="s">
        <v>123</v>
      </c>
      <c r="B29" s="26">
        <f>B8*B20</f>
        <v>0.585813453225</v>
      </c>
      <c r="E29" t="s">
        <v>123</v>
      </c>
      <c r="F29" s="26">
        <f>F8*F20</f>
        <v>11.716265259375</v>
      </c>
      <c r="I29" t="s">
        <v>123</v>
      </c>
      <c r="J29" s="26">
        <f>J8*J20</f>
        <v>5.8581421424999995E-2</v>
      </c>
    </row>
    <row r="30" spans="1:11" x14ac:dyDescent="0.25">
      <c r="A30" t="s">
        <v>124</v>
      </c>
      <c r="B30">
        <f>PI()*B3^2/4*B2</f>
        <v>314.15926535897933</v>
      </c>
      <c r="E30" t="s">
        <v>124</v>
      </c>
      <c r="F30">
        <f>PI()*F3^2/4*F2</f>
        <v>314.15926535897933</v>
      </c>
      <c r="I30" t="s">
        <v>124</v>
      </c>
      <c r="J30">
        <f>PI()*J3^2/4*J2</f>
        <v>314.15926535897933</v>
      </c>
    </row>
    <row r="31" spans="1:11" x14ac:dyDescent="0.25">
      <c r="A31" t="s">
        <v>125</v>
      </c>
      <c r="B31" s="26">
        <f>B29/B30</f>
        <v>1.8647021362098314E-3</v>
      </c>
      <c r="E31" t="s">
        <v>125</v>
      </c>
      <c r="F31" s="26">
        <f>F29/F30</f>
        <v>3.7294030612107565E-2</v>
      </c>
      <c r="I31" t="s">
        <v>125</v>
      </c>
      <c r="J31" s="26">
        <f>J29/J30</f>
        <v>1.8647045586276425E-4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3505-8A74-48A4-81BD-E5EB54A4EFBA}">
  <dimension ref="A1:K31"/>
  <sheetViews>
    <sheetView workbookViewId="0">
      <selection activeCell="J20" sqref="J20"/>
    </sheetView>
  </sheetViews>
  <sheetFormatPr defaultRowHeight="15" x14ac:dyDescent="0.25"/>
  <cols>
    <col min="1" max="1" width="29.140625" bestFit="1" customWidth="1"/>
    <col min="2" max="2" width="10.5703125" bestFit="1" customWidth="1"/>
    <col min="3" max="3" width="10" bestFit="1" customWidth="1"/>
    <col min="6" max="6" width="12" bestFit="1" customWidth="1"/>
    <col min="9" max="9" width="29.140625" bestFit="1" customWidth="1"/>
    <col min="10" max="10" width="12" bestFit="1" customWidth="1"/>
  </cols>
  <sheetData>
    <row r="1" spans="1:11" x14ac:dyDescent="0.25">
      <c r="A1" t="s">
        <v>85</v>
      </c>
      <c r="E1" t="s">
        <v>127</v>
      </c>
      <c r="I1" t="s">
        <v>128</v>
      </c>
    </row>
    <row r="2" spans="1:11" x14ac:dyDescent="0.25">
      <c r="A2" t="s">
        <v>86</v>
      </c>
      <c r="B2">
        <v>4</v>
      </c>
      <c r="C2" t="s">
        <v>49</v>
      </c>
      <c r="E2" t="s">
        <v>86</v>
      </c>
      <c r="F2">
        <v>4</v>
      </c>
      <c r="G2" t="s">
        <v>49</v>
      </c>
      <c r="I2" t="s">
        <v>86</v>
      </c>
      <c r="J2">
        <v>4</v>
      </c>
      <c r="K2" t="s">
        <v>49</v>
      </c>
    </row>
    <row r="3" spans="1:11" x14ac:dyDescent="0.25">
      <c r="A3" t="s">
        <v>87</v>
      </c>
      <c r="B3">
        <v>10</v>
      </c>
      <c r="C3" t="s">
        <v>49</v>
      </c>
      <c r="E3" t="s">
        <v>87</v>
      </c>
      <c r="F3">
        <v>10</v>
      </c>
      <c r="G3" t="s">
        <v>49</v>
      </c>
      <c r="I3" t="s">
        <v>87</v>
      </c>
      <c r="J3">
        <v>10</v>
      </c>
      <c r="K3" t="s">
        <v>49</v>
      </c>
    </row>
    <row r="4" spans="1:11" x14ac:dyDescent="0.25">
      <c r="A4" t="s">
        <v>88</v>
      </c>
      <c r="B4">
        <f>B3-0.1</f>
        <v>9.9</v>
      </c>
      <c r="C4" t="s">
        <v>49</v>
      </c>
      <c r="E4" t="s">
        <v>88</v>
      </c>
      <c r="F4">
        <f>F3-0.1</f>
        <v>9.9</v>
      </c>
      <c r="G4" t="s">
        <v>49</v>
      </c>
      <c r="I4" t="s">
        <v>88</v>
      </c>
      <c r="J4">
        <f>J3-0.1</f>
        <v>9.9</v>
      </c>
      <c r="K4" t="s">
        <v>49</v>
      </c>
    </row>
    <row r="5" spans="1:11" x14ac:dyDescent="0.25">
      <c r="A5" t="s">
        <v>106</v>
      </c>
      <c r="B5">
        <v>20000</v>
      </c>
      <c r="C5" t="s">
        <v>107</v>
      </c>
      <c r="E5" t="s">
        <v>106</v>
      </c>
      <c r="F5">
        <f>B5*20</f>
        <v>400000</v>
      </c>
      <c r="G5" t="s">
        <v>107</v>
      </c>
      <c r="I5" t="s">
        <v>106</v>
      </c>
      <c r="J5">
        <f>B5/10</f>
        <v>2000</v>
      </c>
      <c r="K5" t="s">
        <v>107</v>
      </c>
    </row>
    <row r="6" spans="1:11" x14ac:dyDescent="0.25">
      <c r="A6" t="s">
        <v>89</v>
      </c>
      <c r="B6">
        <f>ROUNDUP(B5*(PI()*(B4/2)^2),0)</f>
        <v>1539538</v>
      </c>
      <c r="C6" t="s">
        <v>108</v>
      </c>
      <c r="E6" t="s">
        <v>89</v>
      </c>
      <c r="F6">
        <f>ROUNDUP(F5*(PI()*(F4/2)^2),0)</f>
        <v>30790750</v>
      </c>
      <c r="G6" t="s">
        <v>108</v>
      </c>
      <c r="I6" t="s">
        <v>89</v>
      </c>
      <c r="J6">
        <f>ROUNDUP(J5*(PI()*(J4/2)^2),0)</f>
        <v>153954</v>
      </c>
      <c r="K6" t="s">
        <v>108</v>
      </c>
    </row>
    <row r="7" spans="1:11" x14ac:dyDescent="0.25">
      <c r="A7" t="s">
        <v>90</v>
      </c>
      <c r="B7">
        <v>0.8</v>
      </c>
      <c r="C7" t="s">
        <v>47</v>
      </c>
      <c r="E7" t="s">
        <v>90</v>
      </c>
      <c r="F7">
        <v>0.8</v>
      </c>
      <c r="G7" t="s">
        <v>47</v>
      </c>
      <c r="I7" t="s">
        <v>90</v>
      </c>
      <c r="J7">
        <v>0.8</v>
      </c>
      <c r="K7" t="s">
        <v>47</v>
      </c>
    </row>
    <row r="8" spans="1:11" x14ac:dyDescent="0.25">
      <c r="A8" t="s">
        <v>91</v>
      </c>
      <c r="B8" s="26">
        <f>B10*B6</f>
        <v>0.57732675</v>
      </c>
      <c r="C8" t="s">
        <v>92</v>
      </c>
      <c r="E8" t="s">
        <v>91</v>
      </c>
      <c r="F8" s="26">
        <f>F10*F6</f>
        <v>11.546531250000001</v>
      </c>
      <c r="G8" t="s">
        <v>92</v>
      </c>
      <c r="I8" t="s">
        <v>91</v>
      </c>
      <c r="J8" s="26">
        <f>J10*J6</f>
        <v>5.7732749999999999E-2</v>
      </c>
      <c r="K8" t="s">
        <v>92</v>
      </c>
    </row>
    <row r="9" spans="1:11" x14ac:dyDescent="0.25">
      <c r="A9" t="s">
        <v>94</v>
      </c>
      <c r="B9">
        <v>1.6</v>
      </c>
      <c r="C9" t="s">
        <v>47</v>
      </c>
      <c r="E9" t="s">
        <v>94</v>
      </c>
      <c r="F9">
        <v>1.6</v>
      </c>
      <c r="G9" t="s">
        <v>47</v>
      </c>
      <c r="I9" t="s">
        <v>94</v>
      </c>
      <c r="J9">
        <v>1.6</v>
      </c>
      <c r="K9" t="s">
        <v>47</v>
      </c>
    </row>
    <row r="10" spans="1:11" x14ac:dyDescent="0.25">
      <c r="A10" t="s">
        <v>95</v>
      </c>
      <c r="B10" s="26">
        <v>3.7500000000000001E-7</v>
      </c>
      <c r="C10" t="s">
        <v>92</v>
      </c>
      <c r="E10" t="s">
        <v>95</v>
      </c>
      <c r="F10" s="26">
        <v>3.7500000000000001E-7</v>
      </c>
      <c r="G10" t="s">
        <v>92</v>
      </c>
      <c r="I10" t="s">
        <v>95</v>
      </c>
      <c r="J10" s="26">
        <v>3.7500000000000001E-7</v>
      </c>
      <c r="K10" t="s">
        <v>92</v>
      </c>
    </row>
    <row r="12" spans="1:11" x14ac:dyDescent="0.25">
      <c r="A12" t="s">
        <v>100</v>
      </c>
      <c r="E12" t="s">
        <v>100</v>
      </c>
      <c r="I12" t="s">
        <v>100</v>
      </c>
    </row>
    <row r="13" spans="1:11" x14ac:dyDescent="0.25">
      <c r="A13" t="s">
        <v>101</v>
      </c>
      <c r="B13">
        <v>30</v>
      </c>
      <c r="C13" t="s">
        <v>102</v>
      </c>
      <c r="E13" t="s">
        <v>101</v>
      </c>
      <c r="F13">
        <v>30</v>
      </c>
      <c r="G13" t="s">
        <v>102</v>
      </c>
      <c r="I13" t="s">
        <v>101</v>
      </c>
      <c r="J13">
        <v>30</v>
      </c>
      <c r="K13" t="s">
        <v>102</v>
      </c>
    </row>
    <row r="14" spans="1:11" x14ac:dyDescent="0.25">
      <c r="A14" t="s">
        <v>103</v>
      </c>
      <c r="B14">
        <f>4-'CO2 Contactor'!B14</f>
        <v>3.9</v>
      </c>
      <c r="C14" t="s">
        <v>104</v>
      </c>
      <c r="E14" t="s">
        <v>103</v>
      </c>
      <c r="F14">
        <f>4-'CO2 Contactor'!F14</f>
        <v>3.9</v>
      </c>
      <c r="G14" t="s">
        <v>104</v>
      </c>
      <c r="I14" t="s">
        <v>103</v>
      </c>
      <c r="J14">
        <f>4-'CO2 Contactor'!J14</f>
        <v>3.9</v>
      </c>
      <c r="K14" t="s">
        <v>104</v>
      </c>
    </row>
    <row r="15" spans="1:11" x14ac:dyDescent="0.25">
      <c r="A15" t="s">
        <v>105</v>
      </c>
      <c r="B15">
        <v>0.12</v>
      </c>
      <c r="C15" t="s">
        <v>11</v>
      </c>
      <c r="E15" t="s">
        <v>105</v>
      </c>
      <c r="F15">
        <v>0.12</v>
      </c>
      <c r="G15" t="s">
        <v>11</v>
      </c>
      <c r="I15" t="s">
        <v>105</v>
      </c>
      <c r="J15">
        <v>0.12</v>
      </c>
      <c r="K15" t="s">
        <v>11</v>
      </c>
    </row>
    <row r="17" spans="1:11" x14ac:dyDescent="0.25">
      <c r="A17" t="s">
        <v>93</v>
      </c>
      <c r="E17" t="s">
        <v>93</v>
      </c>
      <c r="I17" t="s">
        <v>93</v>
      </c>
    </row>
    <row r="18" spans="1:11" x14ac:dyDescent="0.25">
      <c r="A18" t="s">
        <v>96</v>
      </c>
      <c r="B18">
        <v>0</v>
      </c>
      <c r="C18" t="s">
        <v>11</v>
      </c>
      <c r="E18" t="s">
        <v>96</v>
      </c>
      <c r="F18">
        <v>0</v>
      </c>
      <c r="G18" t="s">
        <v>11</v>
      </c>
      <c r="I18" t="s">
        <v>96</v>
      </c>
      <c r="J18">
        <v>0</v>
      </c>
      <c r="K18" t="s">
        <v>11</v>
      </c>
    </row>
    <row r="19" spans="1:11" x14ac:dyDescent="0.25">
      <c r="A19" t="s">
        <v>97</v>
      </c>
      <c r="B19">
        <v>0.11</v>
      </c>
      <c r="C19" t="s">
        <v>11</v>
      </c>
      <c r="E19" t="s">
        <v>97</v>
      </c>
      <c r="F19">
        <v>0.11</v>
      </c>
      <c r="G19" t="s">
        <v>11</v>
      </c>
      <c r="I19" t="s">
        <v>97</v>
      </c>
      <c r="J19">
        <v>0.11</v>
      </c>
      <c r="K19" t="s">
        <v>11</v>
      </c>
    </row>
    <row r="20" spans="1:11" x14ac:dyDescent="0.25">
      <c r="A20" t="s">
        <v>98</v>
      </c>
      <c r="B20">
        <v>1.0146999999999999</v>
      </c>
      <c r="C20" t="s">
        <v>99</v>
      </c>
      <c r="E20" t="s">
        <v>98</v>
      </c>
      <c r="F20">
        <v>1.0146999999999999</v>
      </c>
      <c r="G20" t="s">
        <v>99</v>
      </c>
      <c r="I20" t="s">
        <v>98</v>
      </c>
      <c r="J20">
        <v>1.0146999999999999</v>
      </c>
      <c r="K20" t="s">
        <v>99</v>
      </c>
    </row>
    <row r="22" spans="1:11" x14ac:dyDescent="0.25">
      <c r="A22" t="s">
        <v>109</v>
      </c>
      <c r="E22" t="s">
        <v>109</v>
      </c>
      <c r="I22" t="s">
        <v>109</v>
      </c>
    </row>
    <row r="23" spans="1:11" x14ac:dyDescent="0.25">
      <c r="A23" t="s">
        <v>110</v>
      </c>
      <c r="B23" s="12">
        <f>B8*1000</f>
        <v>577.32674999999995</v>
      </c>
      <c r="C23" t="s">
        <v>111</v>
      </c>
      <c r="E23" t="s">
        <v>110</v>
      </c>
      <c r="F23" s="12">
        <f>F8*1000</f>
        <v>11546.531250000002</v>
      </c>
      <c r="G23" t="s">
        <v>111</v>
      </c>
      <c r="I23" t="s">
        <v>110</v>
      </c>
      <c r="J23" s="12">
        <f>J8*1000</f>
        <v>57.732749999999996</v>
      </c>
      <c r="K23" t="s">
        <v>111</v>
      </c>
    </row>
    <row r="24" spans="1:11" x14ac:dyDescent="0.25">
      <c r="A24" t="s">
        <v>119</v>
      </c>
      <c r="B24" s="12">
        <f>B23*B19*3600</f>
        <v>228621.39299999998</v>
      </c>
      <c r="C24" t="s">
        <v>113</v>
      </c>
      <c r="E24" t="s">
        <v>112</v>
      </c>
      <c r="F24" s="12">
        <f>F23*F19*3600</f>
        <v>4572426.3750000009</v>
      </c>
      <c r="G24" t="s">
        <v>113</v>
      </c>
      <c r="I24" t="s">
        <v>112</v>
      </c>
      <c r="J24" s="12">
        <f>J23*J19*3600</f>
        <v>22862.168999999998</v>
      </c>
      <c r="K24" t="s">
        <v>113</v>
      </c>
    </row>
    <row r="25" spans="1:11" x14ac:dyDescent="0.25">
      <c r="B25" s="12"/>
      <c r="F25" s="12"/>
      <c r="J25" s="12"/>
    </row>
    <row r="26" spans="1:11" x14ac:dyDescent="0.25">
      <c r="A26" t="s">
        <v>118</v>
      </c>
      <c r="B26" s="12">
        <f>'Modeling SCP'!$C$31</f>
        <v>5419636.3636363642</v>
      </c>
      <c r="C26" t="s">
        <v>113</v>
      </c>
      <c r="E26" t="s">
        <v>114</v>
      </c>
      <c r="F26" s="12">
        <f>'Modeling SCP'!$C$31</f>
        <v>5419636.3636363642</v>
      </c>
      <c r="G26" t="s">
        <v>113</v>
      </c>
      <c r="I26" t="s">
        <v>114</v>
      </c>
      <c r="J26" s="12">
        <f>'Modeling SCP'!$C$31</f>
        <v>5419636.3636363642</v>
      </c>
      <c r="K26" t="s">
        <v>113</v>
      </c>
    </row>
    <row r="27" spans="1:11" x14ac:dyDescent="0.25">
      <c r="A27" t="s">
        <v>115</v>
      </c>
      <c r="B27" s="27">
        <f>ROUNDUP(B26/B24,0)</f>
        <v>24</v>
      </c>
      <c r="E27" t="s">
        <v>115</v>
      </c>
      <c r="F27" s="27">
        <f>ROUNDUP(F26/F24,0)</f>
        <v>2</v>
      </c>
      <c r="I27" t="s">
        <v>115</v>
      </c>
      <c r="J27" s="27">
        <f>ROUNDUP(J26/J24,0)</f>
        <v>238</v>
      </c>
    </row>
    <row r="29" spans="1:11" x14ac:dyDescent="0.25">
      <c r="A29" t="s">
        <v>123</v>
      </c>
      <c r="B29" s="26">
        <f>B8*B20</f>
        <v>0.585813453225</v>
      </c>
      <c r="E29" t="s">
        <v>123</v>
      </c>
      <c r="F29" s="26">
        <f>F8*F20</f>
        <v>11.716265259375</v>
      </c>
      <c r="I29" t="s">
        <v>123</v>
      </c>
      <c r="J29" s="26">
        <f>J8*J20</f>
        <v>5.8581421424999995E-2</v>
      </c>
    </row>
    <row r="30" spans="1:11" x14ac:dyDescent="0.25">
      <c r="A30" t="s">
        <v>124</v>
      </c>
      <c r="B30">
        <f>PI()*B3^2/4*B2</f>
        <v>314.15926535897933</v>
      </c>
      <c r="E30" t="s">
        <v>124</v>
      </c>
      <c r="F30">
        <f>PI()*F3^2/4*F2</f>
        <v>314.15926535897933</v>
      </c>
      <c r="I30" t="s">
        <v>124</v>
      </c>
      <c r="J30">
        <f>PI()*J3^2/4*J2</f>
        <v>314.15926535897933</v>
      </c>
    </row>
    <row r="31" spans="1:11" x14ac:dyDescent="0.25">
      <c r="A31" t="s">
        <v>125</v>
      </c>
      <c r="B31" s="26">
        <f>B29/B30</f>
        <v>1.8647021362098314E-3</v>
      </c>
      <c r="E31" t="s">
        <v>125</v>
      </c>
      <c r="F31" s="26">
        <f>F29/F30</f>
        <v>3.7294030612107565E-2</v>
      </c>
      <c r="I31" t="s">
        <v>125</v>
      </c>
      <c r="J31" s="26">
        <f>J29/J30</f>
        <v>1.8647045586276425E-4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FF067-1F6E-491C-B892-D28010A7CE49}">
  <dimension ref="A1:K31"/>
  <sheetViews>
    <sheetView workbookViewId="0">
      <selection activeCell="J20" sqref="J20"/>
    </sheetView>
  </sheetViews>
  <sheetFormatPr defaultRowHeight="15" x14ac:dyDescent="0.25"/>
  <cols>
    <col min="1" max="1" width="29.140625" bestFit="1" customWidth="1"/>
    <col min="2" max="2" width="10.5703125" bestFit="1" customWidth="1"/>
    <col min="3" max="3" width="10" bestFit="1" customWidth="1"/>
    <col min="5" max="5" width="29.140625" bestFit="1" customWidth="1"/>
    <col min="6" max="6" width="12" bestFit="1" customWidth="1"/>
    <col min="9" max="9" width="29.140625" bestFit="1" customWidth="1"/>
    <col min="10" max="10" width="12" bestFit="1" customWidth="1"/>
  </cols>
  <sheetData>
    <row r="1" spans="1:11" x14ac:dyDescent="0.25">
      <c r="A1" t="s">
        <v>85</v>
      </c>
      <c r="E1" t="s">
        <v>127</v>
      </c>
      <c r="I1" t="s">
        <v>128</v>
      </c>
    </row>
    <row r="2" spans="1:11" x14ac:dyDescent="0.25">
      <c r="A2" t="s">
        <v>86</v>
      </c>
      <c r="B2">
        <v>4</v>
      </c>
      <c r="C2" t="s">
        <v>49</v>
      </c>
      <c r="E2" t="s">
        <v>86</v>
      </c>
      <c r="F2">
        <v>4</v>
      </c>
      <c r="G2" t="s">
        <v>49</v>
      </c>
      <c r="I2" t="s">
        <v>86</v>
      </c>
      <c r="J2">
        <v>4</v>
      </c>
      <c r="K2" t="s">
        <v>49</v>
      </c>
    </row>
    <row r="3" spans="1:11" x14ac:dyDescent="0.25">
      <c r="A3" t="s">
        <v>87</v>
      </c>
      <c r="B3">
        <v>10</v>
      </c>
      <c r="C3" t="s">
        <v>49</v>
      </c>
      <c r="E3" t="s">
        <v>87</v>
      </c>
      <c r="F3">
        <v>10</v>
      </c>
      <c r="G3" t="s">
        <v>49</v>
      </c>
      <c r="I3" t="s">
        <v>87</v>
      </c>
      <c r="J3">
        <v>10</v>
      </c>
      <c r="K3" t="s">
        <v>49</v>
      </c>
    </row>
    <row r="4" spans="1:11" x14ac:dyDescent="0.25">
      <c r="A4" t="s">
        <v>88</v>
      </c>
      <c r="B4">
        <f>B3-0.1</f>
        <v>9.9</v>
      </c>
      <c r="C4" t="s">
        <v>49</v>
      </c>
      <c r="E4" t="s">
        <v>88</v>
      </c>
      <c r="F4">
        <f>F3-0.1</f>
        <v>9.9</v>
      </c>
      <c r="G4" t="s">
        <v>49</v>
      </c>
      <c r="I4" t="s">
        <v>88</v>
      </c>
      <c r="J4">
        <f>J3-0.1</f>
        <v>9.9</v>
      </c>
      <c r="K4" t="s">
        <v>49</v>
      </c>
    </row>
    <row r="5" spans="1:11" x14ac:dyDescent="0.25">
      <c r="A5" t="s">
        <v>106</v>
      </c>
      <c r="B5">
        <v>20000</v>
      </c>
      <c r="C5" t="s">
        <v>107</v>
      </c>
      <c r="E5" t="s">
        <v>106</v>
      </c>
      <c r="F5">
        <f>B5*20</f>
        <v>400000</v>
      </c>
      <c r="G5" t="s">
        <v>107</v>
      </c>
      <c r="I5" t="s">
        <v>106</v>
      </c>
      <c r="J5">
        <f>B5/10</f>
        <v>2000</v>
      </c>
      <c r="K5" t="s">
        <v>107</v>
      </c>
    </row>
    <row r="6" spans="1:11" x14ac:dyDescent="0.25">
      <c r="A6" t="s">
        <v>89</v>
      </c>
      <c r="B6">
        <f>ROUNDUP(B5*(PI()*(B4/2)^2),0)</f>
        <v>1539538</v>
      </c>
      <c r="C6" t="s">
        <v>108</v>
      </c>
      <c r="E6" t="s">
        <v>89</v>
      </c>
      <c r="F6">
        <f>ROUNDUP(F5*(PI()*(F4/2)^2),0)</f>
        <v>30790750</v>
      </c>
      <c r="G6" t="s">
        <v>108</v>
      </c>
      <c r="I6" t="s">
        <v>89</v>
      </c>
      <c r="J6">
        <f>ROUNDUP(J5*(PI()*(J4/2)^2),0)</f>
        <v>153954</v>
      </c>
      <c r="K6" t="s">
        <v>108</v>
      </c>
    </row>
    <row r="7" spans="1:11" x14ac:dyDescent="0.25">
      <c r="A7" t="s">
        <v>90</v>
      </c>
      <c r="B7">
        <v>0.8</v>
      </c>
      <c r="C7" t="s">
        <v>47</v>
      </c>
      <c r="E7" t="s">
        <v>90</v>
      </c>
      <c r="F7">
        <v>0.8</v>
      </c>
      <c r="G7" t="s">
        <v>47</v>
      </c>
      <c r="I7" t="s">
        <v>90</v>
      </c>
      <c r="J7">
        <v>0.8</v>
      </c>
      <c r="K7" t="s">
        <v>47</v>
      </c>
    </row>
    <row r="8" spans="1:11" x14ac:dyDescent="0.25">
      <c r="A8" t="s">
        <v>91</v>
      </c>
      <c r="B8" s="26">
        <f>B10*B6</f>
        <v>0.57732675</v>
      </c>
      <c r="C8" t="s">
        <v>92</v>
      </c>
      <c r="E8" t="s">
        <v>91</v>
      </c>
      <c r="F8" s="26">
        <f>F10*F6</f>
        <v>11.546531250000001</v>
      </c>
      <c r="G8" t="s">
        <v>92</v>
      </c>
      <c r="I8" t="s">
        <v>91</v>
      </c>
      <c r="J8" s="26">
        <f>J10*J6</f>
        <v>5.7732749999999999E-2</v>
      </c>
      <c r="K8" t="s">
        <v>92</v>
      </c>
    </row>
    <row r="9" spans="1:11" x14ac:dyDescent="0.25">
      <c r="A9" t="s">
        <v>94</v>
      </c>
      <c r="B9">
        <v>1.6</v>
      </c>
      <c r="C9" t="s">
        <v>47</v>
      </c>
      <c r="E9" t="s">
        <v>94</v>
      </c>
      <c r="F9">
        <v>1.6</v>
      </c>
      <c r="G9" t="s">
        <v>47</v>
      </c>
      <c r="I9" t="s">
        <v>94</v>
      </c>
      <c r="J9">
        <v>1.6</v>
      </c>
      <c r="K9" t="s">
        <v>47</v>
      </c>
    </row>
    <row r="10" spans="1:11" x14ac:dyDescent="0.25">
      <c r="A10" t="s">
        <v>95</v>
      </c>
      <c r="B10" s="26">
        <v>3.7500000000000001E-7</v>
      </c>
      <c r="C10" t="s">
        <v>92</v>
      </c>
      <c r="E10" t="s">
        <v>95</v>
      </c>
      <c r="F10" s="26">
        <v>3.7500000000000001E-7</v>
      </c>
      <c r="G10" t="s">
        <v>92</v>
      </c>
      <c r="I10" t="s">
        <v>95</v>
      </c>
      <c r="J10" s="26">
        <v>3.7500000000000001E-7</v>
      </c>
      <c r="K10" t="s">
        <v>92</v>
      </c>
    </row>
    <row r="12" spans="1:11" x14ac:dyDescent="0.25">
      <c r="A12" t="s">
        <v>100</v>
      </c>
      <c r="E12" t="s">
        <v>100</v>
      </c>
      <c r="I12" t="s">
        <v>100</v>
      </c>
    </row>
    <row r="13" spans="1:11" x14ac:dyDescent="0.25">
      <c r="A13" t="s">
        <v>101</v>
      </c>
      <c r="B13">
        <v>30</v>
      </c>
      <c r="C13" t="s">
        <v>102</v>
      </c>
      <c r="E13" t="s">
        <v>101</v>
      </c>
      <c r="F13">
        <v>30</v>
      </c>
      <c r="G13" t="s">
        <v>102</v>
      </c>
      <c r="I13" t="s">
        <v>101</v>
      </c>
      <c r="J13">
        <v>30</v>
      </c>
      <c r="K13" t="s">
        <v>102</v>
      </c>
    </row>
    <row r="14" spans="1:11" x14ac:dyDescent="0.25">
      <c r="A14" t="s">
        <v>103</v>
      </c>
      <c r="B14">
        <v>4</v>
      </c>
      <c r="C14" t="s">
        <v>104</v>
      </c>
      <c r="E14" t="s">
        <v>103</v>
      </c>
      <c r="F14">
        <v>4</v>
      </c>
      <c r="G14" t="s">
        <v>104</v>
      </c>
      <c r="I14" t="s">
        <v>103</v>
      </c>
      <c r="J14">
        <v>4</v>
      </c>
      <c r="K14" t="s">
        <v>104</v>
      </c>
    </row>
    <row r="15" spans="1:11" x14ac:dyDescent="0.25">
      <c r="A15" t="s">
        <v>105</v>
      </c>
      <c r="B15">
        <v>5.1999999999999998E-3</v>
      </c>
      <c r="C15" t="s">
        <v>11</v>
      </c>
      <c r="E15" t="s">
        <v>105</v>
      </c>
      <c r="F15">
        <v>5.1999999999999998E-3</v>
      </c>
      <c r="G15" t="s">
        <v>11</v>
      </c>
      <c r="I15" t="s">
        <v>105</v>
      </c>
      <c r="J15">
        <v>5.1999999999999998E-3</v>
      </c>
      <c r="K15" t="s">
        <v>11</v>
      </c>
    </row>
    <row r="17" spans="1:11" x14ac:dyDescent="0.25">
      <c r="A17" t="s">
        <v>93</v>
      </c>
      <c r="E17" t="s">
        <v>93</v>
      </c>
      <c r="I17" t="s">
        <v>93</v>
      </c>
    </row>
    <row r="18" spans="1:11" x14ac:dyDescent="0.25">
      <c r="A18" t="s">
        <v>96</v>
      </c>
      <c r="B18">
        <v>0</v>
      </c>
      <c r="C18" t="s">
        <v>11</v>
      </c>
      <c r="E18" t="s">
        <v>96</v>
      </c>
      <c r="F18">
        <v>0</v>
      </c>
      <c r="G18" t="s">
        <v>11</v>
      </c>
      <c r="I18" t="s">
        <v>96</v>
      </c>
      <c r="J18">
        <v>0</v>
      </c>
      <c r="K18" t="s">
        <v>11</v>
      </c>
    </row>
    <row r="19" spans="1:11" x14ac:dyDescent="0.25">
      <c r="A19" t="s">
        <v>97</v>
      </c>
      <c r="B19">
        <v>5.1000000000000004E-3</v>
      </c>
      <c r="C19" t="s">
        <v>11</v>
      </c>
      <c r="E19" t="s">
        <v>97</v>
      </c>
      <c r="F19">
        <v>5.1000000000000004E-3</v>
      </c>
      <c r="G19" t="s">
        <v>11</v>
      </c>
      <c r="I19" t="s">
        <v>97</v>
      </c>
      <c r="J19">
        <v>5.1000000000000004E-3</v>
      </c>
      <c r="K19" t="s">
        <v>11</v>
      </c>
    </row>
    <row r="20" spans="1:11" x14ac:dyDescent="0.25">
      <c r="A20" t="s">
        <v>98</v>
      </c>
      <c r="B20">
        <v>1.0146999999999999</v>
      </c>
      <c r="C20" t="s">
        <v>99</v>
      </c>
      <c r="E20" t="s">
        <v>98</v>
      </c>
      <c r="F20">
        <v>1.0146999999999999</v>
      </c>
      <c r="G20" t="s">
        <v>99</v>
      </c>
      <c r="I20" t="s">
        <v>98</v>
      </c>
      <c r="J20">
        <v>1.0146999999999999</v>
      </c>
      <c r="K20" t="s">
        <v>99</v>
      </c>
    </row>
    <row r="22" spans="1:11" x14ac:dyDescent="0.25">
      <c r="A22" t="s">
        <v>109</v>
      </c>
      <c r="E22" t="s">
        <v>109</v>
      </c>
      <c r="I22" t="s">
        <v>109</v>
      </c>
    </row>
    <row r="23" spans="1:11" x14ac:dyDescent="0.25">
      <c r="A23" t="s">
        <v>110</v>
      </c>
      <c r="B23" s="12">
        <f>B8*1000</f>
        <v>577.32674999999995</v>
      </c>
      <c r="C23" t="s">
        <v>111</v>
      </c>
      <c r="E23" t="s">
        <v>110</v>
      </c>
      <c r="F23" s="12">
        <f>F8*1000</f>
        <v>11546.531250000002</v>
      </c>
      <c r="G23" t="s">
        <v>111</v>
      </c>
      <c r="I23" t="s">
        <v>110</v>
      </c>
      <c r="J23" s="12">
        <f>J8*1000</f>
        <v>57.732749999999996</v>
      </c>
      <c r="K23" t="s">
        <v>111</v>
      </c>
    </row>
    <row r="24" spans="1:11" x14ac:dyDescent="0.25">
      <c r="A24" t="s">
        <v>117</v>
      </c>
      <c r="B24" s="12">
        <f>B23*B19*3600</f>
        <v>10599.719130000001</v>
      </c>
      <c r="C24" t="s">
        <v>113</v>
      </c>
      <c r="E24" t="s">
        <v>112</v>
      </c>
      <c r="F24" s="12">
        <f>F23*F19*3600</f>
        <v>211994.31375000006</v>
      </c>
      <c r="G24" t="s">
        <v>113</v>
      </c>
      <c r="I24" t="s">
        <v>112</v>
      </c>
      <c r="J24" s="12">
        <f>J23*J19*3600</f>
        <v>1059.9732900000001</v>
      </c>
      <c r="K24" t="s">
        <v>113</v>
      </c>
    </row>
    <row r="25" spans="1:11" x14ac:dyDescent="0.25">
      <c r="B25" s="12"/>
      <c r="F25" s="12"/>
      <c r="J25" s="12"/>
    </row>
    <row r="26" spans="1:11" x14ac:dyDescent="0.25">
      <c r="A26" t="s">
        <v>116</v>
      </c>
      <c r="B26" s="12">
        <f>'Modeling SCP'!$C$30</f>
        <v>1165090.9090909092</v>
      </c>
      <c r="C26" t="s">
        <v>113</v>
      </c>
      <c r="E26" t="s">
        <v>114</v>
      </c>
      <c r="F26" s="12">
        <f>'Modeling SCP'!$C$30</f>
        <v>1165090.9090909092</v>
      </c>
      <c r="G26" t="s">
        <v>113</v>
      </c>
      <c r="I26" t="s">
        <v>114</v>
      </c>
      <c r="J26" s="12">
        <f>'Modeling SCP'!$C$30</f>
        <v>1165090.9090909092</v>
      </c>
      <c r="K26" t="s">
        <v>113</v>
      </c>
    </row>
    <row r="27" spans="1:11" x14ac:dyDescent="0.25">
      <c r="A27" t="s">
        <v>115</v>
      </c>
      <c r="B27" s="27">
        <f>ROUNDUP(B26/B24,0)</f>
        <v>110</v>
      </c>
      <c r="E27" t="s">
        <v>115</v>
      </c>
      <c r="F27" s="27">
        <f>ROUNDUP(F26/F24,0)</f>
        <v>6</v>
      </c>
      <c r="I27" t="s">
        <v>115</v>
      </c>
      <c r="J27" s="27">
        <f>ROUNDUP(J26/J24,0)</f>
        <v>1100</v>
      </c>
    </row>
    <row r="29" spans="1:11" x14ac:dyDescent="0.25">
      <c r="A29" t="s">
        <v>123</v>
      </c>
      <c r="B29" s="26">
        <f>B8*B20</f>
        <v>0.585813453225</v>
      </c>
      <c r="E29" t="s">
        <v>123</v>
      </c>
      <c r="F29" s="26">
        <f>F8*F20</f>
        <v>11.716265259375</v>
      </c>
      <c r="I29" t="s">
        <v>123</v>
      </c>
      <c r="J29" s="26">
        <f>J8*J20</f>
        <v>5.8581421424999995E-2</v>
      </c>
    </row>
    <row r="30" spans="1:11" x14ac:dyDescent="0.25">
      <c r="A30" t="s">
        <v>124</v>
      </c>
      <c r="B30">
        <f>PI()*B3^2/4*B2</f>
        <v>314.15926535897933</v>
      </c>
      <c r="E30" t="s">
        <v>124</v>
      </c>
      <c r="F30">
        <f>PI()*F3^2/4*F2</f>
        <v>314.15926535897933</v>
      </c>
      <c r="I30" t="s">
        <v>124</v>
      </c>
      <c r="J30">
        <f>PI()*J3^2/4*J2</f>
        <v>314.15926535897933</v>
      </c>
    </row>
    <row r="31" spans="1:11" x14ac:dyDescent="0.25">
      <c r="A31" t="s">
        <v>125</v>
      </c>
      <c r="B31" s="26">
        <f>B29/B30</f>
        <v>1.8647021362098314E-3</v>
      </c>
      <c r="E31" t="s">
        <v>125</v>
      </c>
      <c r="F31" s="26">
        <f>F29/F30</f>
        <v>3.7294030612107565E-2</v>
      </c>
      <c r="I31" t="s">
        <v>125</v>
      </c>
      <c r="J31" s="26">
        <f>J29/J30</f>
        <v>1.8647045586276425E-4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Modeling SCP</vt:lpstr>
      <vt:lpstr>CO2 Contactor</vt:lpstr>
      <vt:lpstr>O2 Contactor</vt:lpstr>
      <vt:lpstr>H2 Contactor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Jean, Alexandra B [C B E]</dc:creator>
  <cp:lastModifiedBy>Jean, Alexandra B</cp:lastModifiedBy>
  <dcterms:created xsi:type="dcterms:W3CDTF">2024-09-23T19:53:21Z</dcterms:created>
  <dcterms:modified xsi:type="dcterms:W3CDTF">2026-09-01T14:55:19Z</dcterms:modified>
</cp:coreProperties>
</file>